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Hypnos\"/>
    </mc:Choice>
  </mc:AlternateContent>
  <xr:revisionPtr revIDLastSave="0" documentId="13_ncr:1_{0F2F627F-C704-4DDF-B353-BC3A4D04B887}" xr6:coauthVersionLast="47" xr6:coauthVersionMax="47" xr10:uidLastSave="{00000000-0000-0000-0000-000000000000}"/>
  <bookViews>
    <workbookView xWindow="-108" yWindow="-108" windowWidth="23256" windowHeight="12456" xr2:uid="{8D44AE47-5D66-4FE5-848A-BECDAF7113F7}"/>
  </bookViews>
  <sheets>
    <sheet name="Utilisateurs" sheetId="2" r:id="rId1"/>
    <sheet name="Etablissements" sheetId="1" r:id="rId2"/>
    <sheet name="Suites" sheetId="4" r:id="rId3"/>
    <sheet name="Réservations" sheetId="3" r:id="rId4"/>
  </sheets>
  <functionGroups builtInGroupCount="19"/>
  <definedNames>
    <definedName name="branch" localSheetId="2">Suites!$D$1</definedName>
    <definedName name="branch">Réservations!$B$1</definedName>
    <definedName name="branch0">Utilisateurs!$G$1</definedName>
    <definedName name="id">Suites!$B$1</definedName>
    <definedName name="id0">Utilisateurs!$B$1</definedName>
    <definedName name="manager">Etablissements!$D$1</definedName>
    <definedName name="price" localSheetId="2">Suites!$E$1</definedName>
    <definedName name="price">Réservations!$E$1</definedName>
    <definedName name="suite">Suites!$C$1</definedName>
    <definedName name="username">Utilisateurs!$C$1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2" l="1"/>
  <c r="A1" i="4"/>
  <c r="A1" i="1" l="1"/>
  <c r="A1" i="3"/>
</calcChain>
</file>

<file path=xl/sharedStrings.xml><?xml version="1.0" encoding="utf-8"?>
<sst xmlns="http://schemas.openxmlformats.org/spreadsheetml/2006/main" count="365" uniqueCount="239">
  <si>
    <t>Location</t>
  </si>
  <si>
    <t>Price</t>
  </si>
  <si>
    <t>Comment</t>
  </si>
  <si>
    <t>Link</t>
  </si>
  <si>
    <t>La Belle Rouge</t>
  </si>
  <si>
    <t>La Belle Bleue</t>
  </si>
  <si>
    <t>La Belle Jaune</t>
  </si>
  <si>
    <t>Lyon</t>
  </si>
  <si>
    <t>Marseille</t>
  </si>
  <si>
    <t>Perpignan</t>
  </si>
  <si>
    <t>Un très bel endroit retiré au milieu de la jungle urbaine</t>
  </si>
  <si>
    <t>Des paysages montagneux à couper le souffle</t>
  </si>
  <si>
    <t>Commentaire cool</t>
  </si>
  <si>
    <t>https://picsum.photos/500/250</t>
  </si>
  <si>
    <t>Nantes</t>
  </si>
  <si>
    <t>La belle yourte</t>
  </si>
  <si>
    <t>La suite nuptiale</t>
  </si>
  <si>
    <t>x</t>
  </si>
  <si>
    <t>L\'Oasis de rêve</t>
  </si>
  <si>
    <t>Des couchers de soleil somptueux. été comme hiver</t>
  </si>
  <si>
    <t>Username</t>
  </si>
  <si>
    <t>Password</t>
  </si>
  <si>
    <t>Mail</t>
  </si>
  <si>
    <t>Status</t>
  </si>
  <si>
    <t>admin</t>
  </si>
  <si>
    <t>admin@gmail.com</t>
  </si>
  <si>
    <t>Administrateur</t>
  </si>
  <si>
    <t>allowed1</t>
  </si>
  <si>
    <t>yes%+01eeeeeRR</t>
  </si>
  <si>
    <t>allowed2</t>
  </si>
  <si>
    <t>allowed3</t>
  </si>
  <si>
    <t>allowed4</t>
  </si>
  <si>
    <t>allowed5</t>
  </si>
  <si>
    <t>allowed6</t>
  </si>
  <si>
    <t>allowed7</t>
  </si>
  <si>
    <t>allowed8</t>
  </si>
  <si>
    <t>yes%+02eeeeeRR</t>
  </si>
  <si>
    <t>yes%+03eeeeeRR</t>
  </si>
  <si>
    <t>yes%+04eeeeeRR</t>
  </si>
  <si>
    <t>yes%+05eeeeeRR</t>
  </si>
  <si>
    <t>yes%+06eeeeeRR</t>
  </si>
  <si>
    <t>yes%+07eeeeeRR</t>
  </si>
  <si>
    <t>yes%+08eeeeeRR</t>
  </si>
  <si>
    <t>allowed1@gmail.com</t>
  </si>
  <si>
    <t>allowed2@gmail.com</t>
  </si>
  <si>
    <t>allowed3@gmail.com</t>
  </si>
  <si>
    <t>allowed4@gmail.com</t>
  </si>
  <si>
    <t>allowed5@gmail.com</t>
  </si>
  <si>
    <t>allowed6@gmail.com</t>
  </si>
  <si>
    <t>allowed7@gmail.com</t>
  </si>
  <si>
    <t>allowed8@gmail.com</t>
  </si>
  <si>
    <t>Gérant</t>
  </si>
  <si>
    <t>client1</t>
  </si>
  <si>
    <t>client2</t>
  </si>
  <si>
    <t>client3</t>
  </si>
  <si>
    <t>client4</t>
  </si>
  <si>
    <t>client5</t>
  </si>
  <si>
    <t>client6</t>
  </si>
  <si>
    <t>client7</t>
  </si>
  <si>
    <t>client1thrthgjgf321023</t>
  </si>
  <si>
    <t>client2thrthgjgf321023</t>
  </si>
  <si>
    <t>client3thrthgjgf321023</t>
  </si>
  <si>
    <t>client4thrthgjgf321023</t>
  </si>
  <si>
    <t>client5thrthgjgf321023</t>
  </si>
  <si>
    <t>client6thrthgjgf321023</t>
  </si>
  <si>
    <t>client7thrthgjgf321023</t>
  </si>
  <si>
    <t>client1@gmail.com</t>
  </si>
  <si>
    <t>client2@gmail.com</t>
  </si>
  <si>
    <t>client3@gmail.com</t>
  </si>
  <si>
    <t>client4@gmail.com</t>
  </si>
  <si>
    <t>client5@gmail.com</t>
  </si>
  <si>
    <t>client6@gmail.com</t>
  </si>
  <si>
    <t>client7@gmail.com</t>
  </si>
  <si>
    <t>Client</t>
  </si>
  <si>
    <t>Start_date</t>
  </si>
  <si>
    <t>End_date</t>
  </si>
  <si>
    <t>Branch</t>
  </si>
  <si>
    <t>Suite</t>
  </si>
  <si>
    <t>Suite n°1</t>
  </si>
  <si>
    <t>Suite n°2</t>
  </si>
  <si>
    <t>Suite n°3</t>
  </si>
  <si>
    <t>Suite n°4</t>
  </si>
  <si>
    <t>Suite n°5</t>
  </si>
  <si>
    <t>Manager</t>
  </si>
  <si>
    <t>Charles DUPONT</t>
  </si>
  <si>
    <t>Henri LEVI</t>
  </si>
  <si>
    <t>Simon LEPAUVRE</t>
  </si>
  <si>
    <t>Marc DOUMERC</t>
  </si>
  <si>
    <t>Paul PASTIS</t>
  </si>
  <si>
    <t>Le voyage nuptial</t>
  </si>
  <si>
    <t>Uzès</t>
  </si>
  <si>
    <t>Pierre MENDEZ</t>
  </si>
  <si>
    <t>Paris</t>
  </si>
  <si>
    <t>Jean-Jacques MONIER</t>
  </si>
  <si>
    <t>Délicatesse et volupté</t>
  </si>
  <si>
    <t>Le Rêve éveillé</t>
  </si>
  <si>
    <t>Arles</t>
  </si>
  <si>
    <t>Patrick RENAUD</t>
  </si>
  <si>
    <t>Laissez-vous émerveiller</t>
  </si>
  <si>
    <t>L\'Ode à l\'Amour</t>
  </si>
  <si>
    <t>La ville de l\'amour…</t>
  </si>
  <si>
    <t>INSERT INTO Utilisateurs() VALUES ('allowed4', 'yes%+04eeeeeRR', 'allowed4@gmail.com', 'Gérant', 'La belle yourte');</t>
  </si>
  <si>
    <t>INSERT INTO Utilisateurs() VALUES ('allowed5', 'yes%+05eeeeeRR', 'allowed5@gmail.com', 'Gérant', 'La Belle Jaune');</t>
  </si>
  <si>
    <t>INSERT INTO Utilisateurs() VALUES ('allowed6', 'yes%+06eeeeeRR', 'allowed6@gmail.com', 'Gérant', 'Le voyage nuptial');</t>
  </si>
  <si>
    <t>INSERT INTO Utilisateurs() VALUES ('allowed7', 'yes%+07eeeeeRR', 'allowed7@gmail.com', 'Gérant', 'L\'Ode à l\'Amour');</t>
  </si>
  <si>
    <t>INSERT INTO Utilisateurs() VALUES ('allowed8', 'yes%+08eeeeeRR', 'allowed8@gmail.com', 'Gérant', 'Le Rêve éveillé');</t>
  </si>
  <si>
    <t>-</t>
  </si>
  <si>
    <t>UPDATE Utilisateurs SET Username='allowed4', Password='yes%+04eeeeeRR', Mail='allowed4@gmail.com', Status='Gérant', Branch='La belle yourte';</t>
  </si>
  <si>
    <t>UPDATE Utilisateurs SET Username='allowed5', Password='yes%+05eeeeeRR', Mail='allowed5@gmail.com', Status='Gérant', Branch='La Belle Jaune';</t>
  </si>
  <si>
    <t>UPDATE Utilisateurs SET Username='allowed6', Password='yes%+06eeeeeRR', Mail='allowed6@gmail.com', Status='Gérant', Branch='Le voyage nuptial';</t>
  </si>
  <si>
    <t>UPDATE Utilisateurs SET Username='allowed7', Password='yes%+07eeeeeRR', Mail='allowed7@gmail.com', Status='Gérant', Branch='L\'Ode à l\'Amour';</t>
  </si>
  <si>
    <t>UPDATE Utilisateurs SET Username='allowed8', Password='yes%+08eeeeeRR', Mail='allowed8@gmail.com', Status='Gérant', Branch='Le Rêve éveillé';</t>
  </si>
  <si>
    <t>INSERT INTO Etablissements() VALUES ('La belle yourte', 'Perpignan', 'Paul PASTIS', 'https://picsum.photos/500/250', 'Commentaire cool');</t>
  </si>
  <si>
    <t>UPDATE Etablissements SET Branch='La belle yourte', Location='Perpignan', Manager='Paul PASTIS', Link='https://picsum.photos/500/250', Comment='Commentaire cool';</t>
  </si>
  <si>
    <t>INSERT INTO Réservations() VALUES ('La belle yourte', '-', '-', '-');</t>
  </si>
  <si>
    <t>UPDATE Réservations SET Branch='La belle yourte', Start_date='-', End_date='-', Price='-';</t>
  </si>
  <si>
    <t>INSERT INTO Réservations() VALUES ('La suite nuptiale', '-', '-', '-');</t>
  </si>
  <si>
    <t>UPDATE Réservations SET Branch='La suite nuptiale', Start_date='-', End_date='-', Price='-';</t>
  </si>
  <si>
    <t>INSERT INTO Suites() VALUES ('Suite n°3', 'L\'Ode à l\'Amour', 89);</t>
  </si>
  <si>
    <t>UPDATE Suites SET Suite='Suite n°3', Branch='L\'Ode à l\'Amour', Price='89';</t>
  </si>
  <si>
    <t>INSERT INTO Suites() VALUES ('Suite n°5', 'Le Rêve éveillé', 87);</t>
  </si>
  <si>
    <t>UPDATE Suites SET Suite='Suite n°5', Branch='Le Rêve éveillé', Price='87';</t>
  </si>
  <si>
    <t>INSERT INTO Suites() VALUES ('Suite n°4', 'Le Rêve éveillé', 98);</t>
  </si>
  <si>
    <t>UPDATE Suites SET Suite='Suite n°4', Branch='Le Rêve éveillé', Price='98';</t>
  </si>
  <si>
    <t>INSERT INTO Suites() VALUES ('Suite n°3', 'Le Rêve éveillé', 86);</t>
  </si>
  <si>
    <t>UPDATE Suites SET Suite='Suite n°3', Branch='Le Rêve éveillé', Price='86';</t>
  </si>
  <si>
    <t>INSERT INTO Suites() VALUES ('Suite n°2', 'Le Rêve éveillé', 62);</t>
  </si>
  <si>
    <t>UPDATE Suites SET Suite='Suite n°2', Branch='Le Rêve éveillé', Price='62';</t>
  </si>
  <si>
    <t>INSERT INTO Suites() VALUES ('Suite n°1', 'Le Rêve éveillé', 73);</t>
  </si>
  <si>
    <t>UPDATE Suites SET Suite='Suite n°1', Branch='Le Rêve éveillé', Price='73';</t>
  </si>
  <si>
    <t>INSERT INTO Suites() VALUES ('Suite n°5', 'L\'Ode à l\'Amour', 63);</t>
  </si>
  <si>
    <t>UPDATE Suites SET Suite='Suite n°5', Branch='L\'Ode à l\'Amour', Price='63';</t>
  </si>
  <si>
    <t>INSERT INTO Suites() VALUES ('Suite n°4', 'L\'Ode à l\'Amour', 86);</t>
  </si>
  <si>
    <t>UPDATE Suites SET Suite='Suite n°4', Branch='L\'Ode à l\'Amour', Price='86';</t>
  </si>
  <si>
    <t>INSERT INTO Suites() VALUES ('Suite n°2', 'L\'Ode à l\'Amour', 59);</t>
  </si>
  <si>
    <t>UPDATE Suites SET Suite='Suite n°2', Branch='L\'Ode à l\'Amour', Price='59';</t>
  </si>
  <si>
    <t>INSERT INTO Suites() VALUES ('Suite n°1', 'L\'Ode à l\'Amour', 79);</t>
  </si>
  <si>
    <t>UPDATE Suites SET Suite='Suite n°1', Branch='L\'Ode à l\'Amour', Price='79';</t>
  </si>
  <si>
    <t>INSERT INTO Suites() VALUES ('Suite n°4', 'Le voyage nuptial', 83);</t>
  </si>
  <si>
    <t>UPDATE Suites SET Suite='Suite n°4', Branch='Le voyage nuptial', Price='83';</t>
  </si>
  <si>
    <t>INSERT INTO Suites() VALUES ('Suite n°3', 'Le voyage nuptial', 77);</t>
  </si>
  <si>
    <t>UPDATE Suites SET Suite='Suite n°3', Branch='Le voyage nuptial', Price='77';</t>
  </si>
  <si>
    <t>INSERT INTO Suites() VALUES ('Suite n°1', 'La Belle Bleue', 91);</t>
  </si>
  <si>
    <t>UPDATE Suites SET Suite='Suite n°1', Branch='La Belle Bleue', Price='91';</t>
  </si>
  <si>
    <t>INSERT INTO Suites() VALUES ('Suite n°1', 'La Belle Jaune', 49);</t>
  </si>
  <si>
    <t>UPDATE Suites SET Suite='Suite n°1', Branch='La Belle Jaune', Price='49';</t>
  </si>
  <si>
    <t>INSERT INTO Suites() VALUES ('Suite n°1', 'La Belle Rouge', 72);</t>
  </si>
  <si>
    <t>UPDATE Suites SET Suite='Suite n°1', Branch='La Belle Rouge', Price='72';</t>
  </si>
  <si>
    <t>INSERT INTO Suites() VALUES ('Suite n°1', 'La belle yourte', 79);</t>
  </si>
  <si>
    <t>UPDATE Suites SET Suite='Suite n°1', Branch='La belle yourte', Price='79';</t>
  </si>
  <si>
    <t>INSERT INTO Suites() VALUES ('Suite n°1', 'Le voyage nuptial', 75);</t>
  </si>
  <si>
    <t>UPDATE Suites SET Suite='Suite n°1', Branch='Le voyage nuptial', Price='75';</t>
  </si>
  <si>
    <t>INSERT INTO Suites() VALUES ('Suite n°2', 'La Belle Bleue', 46);</t>
  </si>
  <si>
    <t>UPDATE Suites SET Suite='Suite n°2', Branch='La Belle Bleue', Price='46';</t>
  </si>
  <si>
    <t>INSERT INTO Suites() VALUES ('Suite n°2', 'La Belle Jaune', 46);</t>
  </si>
  <si>
    <t>UPDATE Suites SET Suite='Suite n°2', Branch='La Belle Jaune', Price='46';</t>
  </si>
  <si>
    <t>INSERT INTO Suites() VALUES ('Suite n°2', 'La Belle Rouge', 68);</t>
  </si>
  <si>
    <t>UPDATE Suites SET Suite='Suite n°2', Branch='La Belle Rouge', Price='68';</t>
  </si>
  <si>
    <t>INSERT INTO Suites() VALUES ('Suite n°2', 'La belle yourte', 91);</t>
  </si>
  <si>
    <t>UPDATE Suites SET Suite='Suite n°2', Branch='La belle yourte', Price='91';</t>
  </si>
  <si>
    <t>INSERT INTO Suites() VALUES ('Suite n°2', 'Le voyage nuptial', 93);</t>
  </si>
  <si>
    <t>UPDATE Suites SET Suite='Suite n°2', Branch='Le voyage nuptial', Price='93';</t>
  </si>
  <si>
    <t>INSERT INTO Suites() VALUES ('Suite n°3', 'L\'Oasis de rêve', 63);</t>
  </si>
  <si>
    <t>UPDATE Suites SET Suite='Suite n°3', Branch='L\'Oasis de rêve', Price='63';</t>
  </si>
  <si>
    <t>INSERT INTO Suites() VALUES ('Suite n°3', 'La Belle Bleue', 85);</t>
  </si>
  <si>
    <t>UPDATE Suites SET Suite='Suite n°3', Branch='La Belle Bleue', Price='85';</t>
  </si>
  <si>
    <t>INSERT INTO Suites() VALUES ('Suite n°3', 'La Belle Jaune', 46);</t>
  </si>
  <si>
    <t>UPDATE Suites SET Suite='Suite n°3', Branch='La Belle Jaune', Price='46';</t>
  </si>
  <si>
    <t>INSERT INTO Suites() VALUES ('Suite n°3', 'La Belle Rouge', 85);</t>
  </si>
  <si>
    <t>UPDATE Suites SET Suite='Suite n°3', Branch='La Belle Rouge', Price='85';</t>
  </si>
  <si>
    <t>INSERT INTO Suites() VALUES ('Suite n°3', 'La belle yourte', 63);</t>
  </si>
  <si>
    <t>UPDATE Suites SET Suite='Suite n°3', Branch='La belle yourte', Price='63';</t>
  </si>
  <si>
    <t>INSERT INTO Suites() VALUES ('Suite n°4', 'L\'Oasis de rêve', 79);</t>
  </si>
  <si>
    <t>UPDATE Suites SET Suite='Suite n°4', Branch='L\'Oasis de rêve', Price='79';</t>
  </si>
  <si>
    <t>INSERT INTO Suites() VALUES ('Suite n°4', 'La Belle Bleue', 74);</t>
  </si>
  <si>
    <t>UPDATE Suites SET Suite='Suite n°4', Branch='La Belle Bleue', Price='74';</t>
  </si>
  <si>
    <t>INSERT INTO Suites() VALUES ('Suite n°4', 'La Belle Jaune', 57);</t>
  </si>
  <si>
    <t>UPDATE Suites SET Suite='Suite n°4', Branch='La Belle Jaune', Price='57';</t>
  </si>
  <si>
    <t>INSERT INTO Suites() VALUES ('Suite n°4', 'La Belle Rouge', 89);</t>
  </si>
  <si>
    <t>UPDATE Suites SET Suite='Suite n°4', Branch='La Belle Rouge', Price='89';</t>
  </si>
  <si>
    <t>INSERT INTO Suites() VALUES ('Suite n°4', 'La belle yourte', 93);</t>
  </si>
  <si>
    <t>UPDATE Suites SET Suite='Suite n°4', Branch='La belle yourte', Price='93';</t>
  </si>
  <si>
    <t>INSERT INTO Suites() VALUES ('Suite n°5', 'L\'Oasis de rêve', 59);</t>
  </si>
  <si>
    <t>UPDATE Suites SET Suite='Suite n°5', Branch='L\'Oasis de rêve', Price='59';</t>
  </si>
  <si>
    <t>INSERT INTO Suites() VALUES ('Suite n°5', 'La Belle Bleue', 60);</t>
  </si>
  <si>
    <t>UPDATE Suites SET Suite='Suite n°5', Branch='La Belle Bleue', Price='60';</t>
  </si>
  <si>
    <t>INSERT INTO Suites() VALUES ('Suite n°5', 'La Belle Jaune', 88);</t>
  </si>
  <si>
    <t>UPDATE Suites SET Suite='Suite n°5', Branch='La Belle Jaune', Price='88';</t>
  </si>
  <si>
    <t>INSERT INTO Suites() VALUES ('Suite n°5', 'La Belle Rouge', 68);</t>
  </si>
  <si>
    <t>UPDATE Suites SET Suite='Suite n°5', Branch='La Belle Rouge', Price='68';</t>
  </si>
  <si>
    <t>INSERT INTO Suites() VALUES ('Suite n°5', 'La belle yourte', 88);</t>
  </si>
  <si>
    <t>UPDATE Suites SET Suite='Suite n°5', Branch='La belle yourte', Price='88';</t>
  </si>
  <si>
    <t>INSERT INTO Etablissements() VALUES ('L\'Oasis de rêve', 'Nantes', 'Charles DUPONT', 'https://picsum.photos/500/250', 'Commentaire cool');</t>
  </si>
  <si>
    <t>UPDATE Etablissements SET Branch='L\'Oasis de rêve', Location='Nantes', Manager='Charles DUPONT', Link='https://picsum.photos/500/250', Comment='Commentaire cool';</t>
  </si>
  <si>
    <t>INSERT INTO Etablissements() VALUES ('L\'Ode à l\'Amour', 'Paris', 'Jean-Jacques MONIER', 'https://picsum.photos/500/250', 'La ville de l\'amour…');</t>
  </si>
  <si>
    <t>UPDATE Etablissements SET Branch='L\'Ode à l\'Amour', Location='Paris', Manager='Jean-Jacques MONIER', Link='https://picsum.photos/500/250', Comment='La ville de l\'amour…';</t>
  </si>
  <si>
    <t>INSERT INTO Etablissements() VALUES ('La Belle Bleue', 'Marseille', 'Henri LEVI', 'https://picsum.photos/500/250', 'Un très bel endroit retiré au milieu de la jungle urbaine');</t>
  </si>
  <si>
    <t>UPDATE Etablissements SET Branch='La Belle Bleue', Location='Marseille', Manager='Henri LEVI', Link='https://picsum.photos/500/250', Comment='Un très bel endroit retiré au milieu de la jungle urbaine';</t>
  </si>
  <si>
    <t>INSERT INTO Etablissements() VALUES ('La Belle Jaune', 'Perpignan', 'Simon LEPAUVRE', 'https://picsum.photos/500/250', 'Des paysages montagneux à couper le souffle');</t>
  </si>
  <si>
    <t>UPDATE Etablissements SET Branch='La Belle Jaune', Location='Perpignan', Manager='Simon LEPAUVRE', Link='https://picsum.photos/500/250', Comment='Des paysages montagneux à couper le souffle';</t>
  </si>
  <si>
    <t>INSERT INTO Etablissements() VALUES ('La Belle Rouge', 'Lyon', 'Marc DOUMERC', 'https://picsum.photos/500/250', 'Des couchers de soleil somptueux. été comme hiver');</t>
  </si>
  <si>
    <t>UPDATE Etablissements SET Branch='La Belle Rouge', Location='Lyon', Manager='Marc DOUMERC', Link='https://picsum.photos/500/250', Comment='Des couchers de soleil somptueux. été comme hiver';</t>
  </si>
  <si>
    <t>INSERT INTO Etablissements() VALUES ('Le Rêve éveillé', 'Arles', 'Patrick RENAUD', 'https://picsum.photos/500/250', 'Laissez-vous émerveiller');</t>
  </si>
  <si>
    <t>UPDATE Etablissements SET Branch='Le Rêve éveillé', Location='Arles', Manager='Patrick RENAUD', Link='https://picsum.photos/500/250', Comment='Laissez-vous émerveiller';</t>
  </si>
  <si>
    <t>INSERT INTO Etablissements() VALUES ('Le voyage nuptial', 'Uzès', 'Pierre MENDEZ', 'https://picsum.photos/500/250', 'Délicatesse et volupté');</t>
  </si>
  <si>
    <t>UPDATE Etablissements SET Branch='Le voyage nuptial', Location='Uzès', Manager='Pierre MENDEZ', Link='https://picsum.photos/500/250', Comment='Délicatesse et volupté';</t>
  </si>
  <si>
    <t>Suite n°6</t>
  </si>
  <si>
    <t>Id</t>
  </si>
  <si>
    <t>INSERT INTO Suites() VALUES ('41, 'Suite n°6', 'Le voyage nuptial', 87);</t>
  </si>
  <si>
    <t>UPDATE Suites SET Id='41', Suite='Suite n°6', Branch='Le voyage nuptial', Price='87';</t>
  </si>
  <si>
    <t>INSERT INTO Suites() VALUES ('40, 'Suite n°5', 'Le voyage nuptial', 80);</t>
  </si>
  <si>
    <t>UPDATE Suites SET Id='40', Suite='Suite n°5', Branch='Le voyage nuptial', Price='80';</t>
  </si>
  <si>
    <t>INSERT INTO Suites() VALUES ('1, 'Suite n°1', 'L\'Oasis de rêve', 70);</t>
  </si>
  <si>
    <t>UPDATE Suites SET Id='1', Suite='Suite n°1', Branch='L\'Oasis de rêve', Price='70';</t>
  </si>
  <si>
    <t>INSERT INTO Suites() VALUES ('2, 'Suite n°2', 'L\'Oasis de rêve', 46);</t>
  </si>
  <si>
    <t>UPDATE Suites SET Id='2', Suite='Suite n°2', Branch='L\'Oasis de rêve', Price='46';</t>
  </si>
  <si>
    <t>id</t>
  </si>
  <si>
    <t>INSERT INTO Utilisateurs() VALUES ('17, 'client4', 'client4thrthgjgf321023', 'client4@gmail.com', 'Client', '-');</t>
  </si>
  <si>
    <t>UPDATE Utilisateurs SET id='17', Username='client4', Password='client4thrthgjgf321023', Mail='client4@gmail.com', Status='Client', Branch='-';</t>
  </si>
  <si>
    <t>INSERT INTO Utilisateurs() VALUES ('18, 'client7', 'client7thrthgjgf321023', 'client7@gmail.com', 'Client', '-');</t>
  </si>
  <si>
    <t>UPDATE Utilisateurs SET id='18', Username='client7', Password='client7thrthgjgf321023', Mail='client7@gmail.com', Status='Client', Branch='-';</t>
  </si>
  <si>
    <t>INSERT INTO Utilisateurs() VALUES ('20, 'allowed1', 'yes%+01eeeeeRR', 'allowed1@gmail.com', 'Gérant', 'L\'Oasis de rêve');</t>
  </si>
  <si>
    <t>UPDATE Utilisateurs SET id='20', Username='allowed1', Password='yes%+01eeeeeRR', Mail='allowed1@gmail.com', Status='Gérant', Branch='L\'Oasis de rêve';</t>
  </si>
  <si>
    <t>INSERT INTO Utilisateurs() VALUES ('21, 'admin', 'admin', 'admin@gmail.com', 'Administrateur', '-');</t>
  </si>
  <si>
    <t>UPDATE Utilisateurs SET id='21', Username='admin', Password='admin', Mail='admin@gmail.com', Status='Administrateur', Branch='-';</t>
  </si>
  <si>
    <t>INSERT INTO Utilisateurs() VALUES ('3, 'allowed2', 'yes%+02eeeeeRR', 'allowed2@gmail.com', 'Gérant', 'La Belle Bleue');</t>
  </si>
  <si>
    <t>UPDATE Utilisateurs SET id='3', Username='allowed2', Password='yes%+02eeeeeRR', Mail='allowed2@gmail.com', Status='Gérant', Branch='La Belle Bleue';</t>
  </si>
  <si>
    <t>INSERT INTO Utilisateurs() VALUES ('4, 'allowed3', 'yes%+03eeeeeRR', 'allowed3@gmail.com', 'Gérant', 'La Belle Rouge');</t>
  </si>
  <si>
    <t>UPDATE Utilisateurs SET id='4', Username='allowed3', Password='yes%+03eeeeeRR', Mail='allowed3@gmail.com', Status='Gérant', Branch='La Belle Rouge';</t>
  </si>
  <si>
    <t>INSERT INTO Utilisateurs() VALUES ('11, 'client2', 'client2thrthgjgf321023', 'client2@gmail.com', 'Client', '-');</t>
  </si>
  <si>
    <t>UPDATE Utilisateurs SET id='11', Username='client2', Password='client2thrthgjgf321023', Mail='client2@gmail.com', Status='Client', Branch='-';</t>
  </si>
  <si>
    <t>INSERT INTO Utilisateurs() VALUES ('14, 'client5', 'client5thrthgjgf321023', 'client5@gmail.com', 'Client', '-');</t>
  </si>
  <si>
    <t>UPDATE Utilisateurs SET id='14', Username='client5', Password='client5thrthgjgf321023', Mail='client5@gmail.com', Status='Client', Branch='-';</t>
  </si>
  <si>
    <t>INSERT INTO Utilisateurs() VALUES ('15, 'client6', 'client6thrthgjgf321023', 'client6@gmail.com', 'Client', '-');</t>
  </si>
  <si>
    <t>UPDATE Utilisateurs SET id='15', Username='client6', Password='client6thrthgjgf321023', Mail='client6@gmail.com', Status='Client', Branch='-';</t>
  </si>
  <si>
    <t>INSERT INTO Utilisateurs() VALUES ('12, 'client3', 'client3thrthgjgf321023', 'client3@gmail.com', 'Client', '-');</t>
  </si>
  <si>
    <t>UPDATE Utilisateurs SET id='12', Username='client3', Password='client3thrthgjgf321023', Mail='client3@gmail.com', Status='Client', Branch='-';</t>
  </si>
  <si>
    <t>INSERT INTO Utilisateurs() VALUES ('10, 'client1', 'client1thrthgjgf321023', 'client1@gmail.com', 'Client', '-');</t>
  </si>
  <si>
    <t>UPDATE Utilisateurs SET id='10', Username='client1', Password='client1thrthgjgf321023', Mail='client1@gmail.com', Status='Client', Branch='-';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</si>
</sst>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€&quot;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9"/>
      <name val="Calibri"/>
      <family val="2"/>
      <scheme val="minor"/>
    </font>
    <font>
      <sz val="8"/>
      <name val="Calibri"/>
      <family val="2"/>
      <scheme val="minor"/>
    </font>
    <font>
      <b/>
      <i/>
      <sz val="9"/>
      <color theme="0" tint="-0.249977111117893"/>
      <name val="Calibri"/>
      <family val="2"/>
      <scheme val="minor"/>
    </font>
    <font>
      <i/>
      <sz val="9"/>
      <color theme="0" tint="-0.249977111117893"/>
      <name val="Calibri"/>
      <family val="2"/>
      <scheme val="minor"/>
    </font>
    <font>
      <i/>
      <sz val="9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0B4"/>
        <bgColor indexed="64"/>
      </patternFill>
    </fill>
    <fill>
      <patternFill patternType="solid">
        <fgColor rgb="FFA9D08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3" borderId="0" xfId="0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4" fontId="0" fillId="0" borderId="0" xfId="0" applyNumberFormat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quotePrefix="1" applyFont="1" applyAlignment="1">
      <alignment vertical="center"/>
    </xf>
    <xf numFmtId="0" fontId="7" fillId="0" borderId="0" xfId="0" quotePrefix="1" applyNumberFormat="1" applyFont="1" applyAlignment="1">
      <alignment vertical="center"/>
    </xf>
    <xf numFmtId="0" fontId="7" fillId="0" borderId="0" xfId="0" applyNumberFormat="1" applyFont="1" applyAlignment="1">
      <alignment vertical="center"/>
    </xf>
    <xf numFmtId="0" fontId="8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03083-D99B-4ACE-ABA8-0D57C14F0EE7}">
  <sheetPr codeName="Feuil2"/>
  <dimension ref="A1:I18"/>
  <sheetViews>
    <sheetView tabSelected="1" workbookViewId="0">
      <pane ySplit="1" topLeftCell="A2" activePane="bottomLeft" state="frozen"/>
      <selection pane="bottomLeft" activeCell="G12" sqref="G12"/>
    </sheetView>
  </sheetViews>
  <sheetFormatPr baseColWidth="10" defaultRowHeight="14.4" x14ac:dyDescent="0.3"/>
  <cols>
    <col min="1" max="1" width="4.77734375" style="9" customWidth="1"/>
    <col min="2" max="2" width="3" style="6" bestFit="1" customWidth="1"/>
    <col min="3" max="3" width="10.44140625" style="3" bestFit="1" customWidth="1"/>
    <col min="4" max="4" width="19.44140625" style="3" bestFit="1" customWidth="1"/>
    <col min="5" max="5" width="18.77734375" style="6" bestFit="1" customWidth="1"/>
    <col min="6" max="6" width="13" style="6" bestFit="1" customWidth="1"/>
    <col min="7" max="7" width="15.44140625" style="6" bestFit="1" customWidth="1"/>
    <col min="8" max="9" width="11.5546875" style="21"/>
    <col min="10" max="16384" width="11.5546875" style="3"/>
  </cols>
  <sheetData>
    <row r="1" spans="1:9" s="5" customFormat="1" ht="18" customHeight="1" x14ac:dyDescent="0.3">
      <c r="A1" s="8">
        <f>COUNTA($B$2:$B$100)</f>
        <v>16</v>
      </c>
      <c r="B1" s="10" t="s">
        <v>216</v>
      </c>
      <c r="C1" s="10" t="s">
        <v>20</v>
      </c>
      <c r="D1" s="5" t="s">
        <v>21</v>
      </c>
      <c r="E1" s="5" t="s">
        <v>22</v>
      </c>
      <c r="F1" s="5" t="s">
        <v>23</v>
      </c>
      <c r="G1" s="5" t="s">
        <v>76</v>
      </c>
      <c r="H1" s="22"/>
      <c r="I1" s="24"/>
    </row>
    <row r="2" spans="1:9" x14ac:dyDescent="0.3">
      <c r="B2" s="6">
        <v>1</v>
      </c>
      <c r="C2" s="3" t="s">
        <v>24</v>
      </c>
      <c r="D2" s="3" t="s">
        <v>24</v>
      </c>
      <c r="E2" t="s">
        <v>25</v>
      </c>
      <c r="F2" s="6" t="s">
        <v>26</v>
      </c>
      <c r="G2" s="6" t="s">
        <v>106</v>
      </c>
      <c r="H2" s="20" t="s">
        <v>223</v>
      </c>
      <c r="I2" s="21" t="s">
        <v>224</v>
      </c>
    </row>
    <row r="3" spans="1:9" x14ac:dyDescent="0.3">
      <c r="B3" s="6">
        <v>2</v>
      </c>
      <c r="C3" s="3" t="s">
        <v>27</v>
      </c>
      <c r="D3" s="3" t="s">
        <v>28</v>
      </c>
      <c r="E3" s="6" t="s">
        <v>43</v>
      </c>
      <c r="F3" s="6" t="s">
        <v>51</v>
      </c>
      <c r="G3" s="6" t="s">
        <v>18</v>
      </c>
      <c r="H3" s="20" t="s">
        <v>221</v>
      </c>
      <c r="I3" s="21" t="s">
        <v>222</v>
      </c>
    </row>
    <row r="4" spans="1:9" x14ac:dyDescent="0.3">
      <c r="B4" s="6">
        <v>3</v>
      </c>
      <c r="C4" s="3" t="s">
        <v>29</v>
      </c>
      <c r="D4" s="3" t="s">
        <v>36</v>
      </c>
      <c r="E4" s="6" t="s">
        <v>44</v>
      </c>
      <c r="F4" s="6" t="s">
        <v>51</v>
      </c>
      <c r="G4" s="6" t="s">
        <v>5</v>
      </c>
      <c r="H4" s="20" t="s">
        <v>225</v>
      </c>
      <c r="I4" s="21" t="s">
        <v>226</v>
      </c>
    </row>
    <row r="5" spans="1:9" x14ac:dyDescent="0.3">
      <c r="B5" s="6">
        <v>4</v>
      </c>
      <c r="C5" s="3" t="s">
        <v>30</v>
      </c>
      <c r="D5" s="3" t="s">
        <v>37</v>
      </c>
      <c r="E5" s="6" t="s">
        <v>45</v>
      </c>
      <c r="F5" s="6" t="s">
        <v>51</v>
      </c>
      <c r="G5" s="6" t="s">
        <v>4</v>
      </c>
      <c r="H5" s="20" t="s">
        <v>227</v>
      </c>
      <c r="I5" s="21" t="s">
        <v>228</v>
      </c>
    </row>
    <row r="6" spans="1:9" x14ac:dyDescent="0.3">
      <c r="B6" s="6">
        <v>5</v>
      </c>
      <c r="C6" s="3" t="s">
        <v>31</v>
      </c>
      <c r="D6" s="3" t="s">
        <v>38</v>
      </c>
      <c r="E6" s="6" t="s">
        <v>46</v>
      </c>
      <c r="F6" s="6" t="s">
        <v>51</v>
      </c>
      <c r="G6" s="6" t="s">
        <v>15</v>
      </c>
      <c r="H6" s="20" t="s">
        <v>101</v>
      </c>
      <c r="I6" s="21" t="s">
        <v>107</v>
      </c>
    </row>
    <row r="7" spans="1:9" x14ac:dyDescent="0.3">
      <c r="B7" s="6">
        <v>6</v>
      </c>
      <c r="C7" s="3" t="s">
        <v>32</v>
      </c>
      <c r="D7" s="3" t="s">
        <v>39</v>
      </c>
      <c r="E7" s="6" t="s">
        <v>47</v>
      </c>
      <c r="F7" s="6" t="s">
        <v>51</v>
      </c>
      <c r="G7" s="6" t="s">
        <v>6</v>
      </c>
      <c r="H7" s="20" t="s">
        <v>102</v>
      </c>
      <c r="I7" s="21" t="s">
        <v>108</v>
      </c>
    </row>
    <row r="8" spans="1:9" x14ac:dyDescent="0.3">
      <c r="B8" s="6">
        <v>7</v>
      </c>
      <c r="C8" s="3" t="s">
        <v>33</v>
      </c>
      <c r="D8" s="3" t="s">
        <v>40</v>
      </c>
      <c r="E8" s="6" t="s">
        <v>48</v>
      </c>
      <c r="F8" s="6" t="s">
        <v>51</v>
      </c>
      <c r="G8" s="6" t="s">
        <v>89</v>
      </c>
      <c r="H8" s="20" t="s">
        <v>103</v>
      </c>
      <c r="I8" s="21" t="s">
        <v>109</v>
      </c>
    </row>
    <row r="9" spans="1:9" x14ac:dyDescent="0.3">
      <c r="B9" s="6">
        <v>8</v>
      </c>
      <c r="C9" s="3" t="s">
        <v>34</v>
      </c>
      <c r="D9" s="3" t="s">
        <v>41</v>
      </c>
      <c r="E9" s="6" t="s">
        <v>49</v>
      </c>
      <c r="F9" s="6" t="s">
        <v>51</v>
      </c>
      <c r="G9" s="6" t="s">
        <v>99</v>
      </c>
      <c r="H9" s="20" t="s">
        <v>104</v>
      </c>
      <c r="I9" s="21" t="s">
        <v>110</v>
      </c>
    </row>
    <row r="10" spans="1:9" x14ac:dyDescent="0.3">
      <c r="B10" s="6">
        <v>9</v>
      </c>
      <c r="C10" s="3" t="s">
        <v>35</v>
      </c>
      <c r="D10" s="3" t="s">
        <v>42</v>
      </c>
      <c r="E10" s="6" t="s">
        <v>50</v>
      </c>
      <c r="F10" s="6" t="s">
        <v>51</v>
      </c>
      <c r="G10" s="6" t="s">
        <v>95</v>
      </c>
      <c r="H10" s="20" t="s">
        <v>105</v>
      </c>
      <c r="I10" s="21" t="s">
        <v>111</v>
      </c>
    </row>
    <row r="11" spans="1:9" x14ac:dyDescent="0.3">
      <c r="B11" s="6">
        <v>10</v>
      </c>
      <c r="C11" s="3" t="s">
        <v>52</v>
      </c>
      <c r="D11" s="3" t="s">
        <v>59</v>
      </c>
      <c r="E11" s="6" t="s">
        <v>66</v>
      </c>
      <c r="F11" s="6" t="s">
        <v>73</v>
      </c>
      <c r="G11" s="6" t="s">
        <v>106</v>
      </c>
      <c r="H11" s="20" t="s">
        <v>237</v>
      </c>
      <c r="I11" s="21" t="s">
        <v>238</v>
      </c>
    </row>
    <row r="12" spans="1:9" x14ac:dyDescent="0.3">
      <c r="A12" s="9" t="s">
        <v>17</v>
      </c>
      <c r="B12" s="6">
        <v>11</v>
      </c>
      <c r="C12" s="3" t="s">
        <v>53</v>
      </c>
      <c r="D12" s="3" t="s">
        <v>60</v>
      </c>
      <c r="E12" s="6" t="s">
        <v>67</v>
      </c>
      <c r="F12" s="6" t="s">
        <v>73</v>
      </c>
      <c r="G12" s="6" t="s">
        <v>106</v>
      </c>
      <c r="H12" s="20" t="s">
        <v>229</v>
      </c>
      <c r="I12" s="21" t="s">
        <v>230</v>
      </c>
    </row>
    <row r="13" spans="1:9" x14ac:dyDescent="0.3">
      <c r="B13" s="6">
        <v>12</v>
      </c>
      <c r="C13" s="3" t="s">
        <v>54</v>
      </c>
      <c r="D13" s="3" t="s">
        <v>61</v>
      </c>
      <c r="E13" s="6" t="s">
        <v>68</v>
      </c>
      <c r="F13" s="6" t="s">
        <v>73</v>
      </c>
      <c r="G13" s="6" t="s">
        <v>106</v>
      </c>
      <c r="H13" s="20" t="s">
        <v>235</v>
      </c>
      <c r="I13" s="21" t="s">
        <v>236</v>
      </c>
    </row>
    <row r="14" spans="1:9" x14ac:dyDescent="0.3">
      <c r="B14" s="6">
        <v>17</v>
      </c>
      <c r="C14" s="3" t="s">
        <v>55</v>
      </c>
      <c r="D14" s="3" t="s">
        <v>62</v>
      </c>
      <c r="E14" s="6" t="s">
        <v>69</v>
      </c>
      <c r="F14" s="6" t="s">
        <v>73</v>
      </c>
      <c r="G14" s="6" t="s">
        <v>106</v>
      </c>
      <c r="H14" s="20" t="s">
        <v>217</v>
      </c>
      <c r="I14" s="21" t="s">
        <v>218</v>
      </c>
    </row>
    <row r="15" spans="1:9" x14ac:dyDescent="0.3">
      <c r="B15" s="6">
        <v>14</v>
      </c>
      <c r="C15" s="3" t="s">
        <v>56</v>
      </c>
      <c r="D15" s="3" t="s">
        <v>63</v>
      </c>
      <c r="E15" s="6" t="s">
        <v>70</v>
      </c>
      <c r="F15" s="6" t="s">
        <v>73</v>
      </c>
      <c r="G15" s="6" t="s">
        <v>106</v>
      </c>
      <c r="H15" s="20" t="s">
        <v>231</v>
      </c>
      <c r="I15" s="21" t="s">
        <v>232</v>
      </c>
    </row>
    <row r="16" spans="1:9" x14ac:dyDescent="0.3">
      <c r="B16" s="6">
        <v>15</v>
      </c>
      <c r="C16" s="3" t="s">
        <v>57</v>
      </c>
      <c r="D16" s="3" t="s">
        <v>64</v>
      </c>
      <c r="E16" s="6" t="s">
        <v>71</v>
      </c>
      <c r="F16" s="6" t="s">
        <v>73</v>
      </c>
      <c r="G16" s="6" t="s">
        <v>106</v>
      </c>
      <c r="H16" s="20" t="s">
        <v>233</v>
      </c>
      <c r="I16" s="21" t="s">
        <v>234</v>
      </c>
    </row>
    <row r="17" spans="2:9" x14ac:dyDescent="0.3">
      <c r="B17" s="6">
        <v>18</v>
      </c>
      <c r="C17" s="3" t="s">
        <v>58</v>
      </c>
      <c r="D17" s="3" t="s">
        <v>65</v>
      </c>
      <c r="E17" s="6" t="s">
        <v>72</v>
      </c>
      <c r="F17" s="6" t="s">
        <v>73</v>
      </c>
      <c r="G17" s="6" t="s">
        <v>106</v>
      </c>
      <c r="H17" s="20" t="s">
        <v>219</v>
      </c>
      <c r="I17" s="21" t="s">
        <v>220</v>
      </c>
    </row>
    <row r="18" spans="2:9" x14ac:dyDescent="0.3">
      <c r="H18" s="20"/>
    </row>
  </sheetData>
  <sortState xmlns:xlrd2="http://schemas.microsoft.com/office/spreadsheetml/2017/richdata2" ref="A2:H18">
    <sortCondition ref="C1"/>
  </sortState>
  <phoneticPr fontId="4" type="noConversion"/>
  <conditionalFormatting sqref="B2:G100">
    <cfRule type="expression" dxfId="13" priority="3">
      <formula>$C2&lt;&gt;""</formula>
    </cfRule>
  </conditionalFormatting>
  <conditionalFormatting sqref="A1:XFD1">
    <cfRule type="expression" dxfId="12" priority="2">
      <formula>$A$1="OFF"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4FB66C9-3588-45A0-BFB7-6ADBB7477B95}">
            <xm:f>Etablissements!$A$1="OFF"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errorTitle="Erreur de saisie" error="Veuillez saisir un établissement dans la liste." xr:uid="{893A87FD-2188-4DDC-B86D-3F9C57019946}">
          <x14:formula1>
            <xm:f>Etablissements!$B$2:$B$9</xm:f>
          </x14:formula1>
          <xm:sqref>G18 G2:G10</xm:sqref>
        </x14:dataValidation>
        <x14:dataValidation type="list" allowBlank="1" showInputMessage="1" showErrorMessage="1" errorTitle="Erreur de saisie" error="Veuillez saisir un établissement dans la liste." xr:uid="{4724B6B5-E072-4F18-ABD0-5461B92E68F5}">
          <x14:formula1>
            <xm:f>Etablissements!$B$2:$B$9</xm:f>
          </x14:formula1>
          <xm:sqref>G17</xm:sqref>
        </x14:dataValidation>
        <x14:dataValidation type="list" allowBlank="1" showInputMessage="1" showErrorMessage="1" errorTitle="Erreur de saisie" error="Veuillez saisir un établissement dans la liste." xr:uid="{6B123562-459A-4545-B72B-86029CE45E9B}">
          <x14:formula1>
            <xm:f>Etablissements!$B$2:$B$9</xm:f>
          </x14:formula1>
          <xm:sqref>G16</xm:sqref>
        </x14:dataValidation>
        <x14:dataValidation type="list" allowBlank="1" showInputMessage="1" showErrorMessage="1" errorTitle="Erreur de saisie" error="Veuillez saisir un établissement dans la liste." xr:uid="{32C6A985-D570-4DC9-BB28-6335F4784343}">
          <x14:formula1>
            <xm:f>Etablissements!$B$2:$B$9</xm:f>
          </x14:formula1>
          <xm:sqref>G15</xm:sqref>
        </x14:dataValidation>
        <x14:dataValidation type="list" allowBlank="1" showInputMessage="1" showErrorMessage="1" errorTitle="Erreur de saisie" error="Veuillez saisir un établissement dans la liste." xr:uid="{2323D2FD-8398-4FCD-AAD6-199486FB3B09}">
          <x14:formula1>
            <xm:f>Etablissements!$B$2:$B$9</xm:f>
          </x14:formula1>
          <xm:sqref>G14</xm:sqref>
        </x14:dataValidation>
        <x14:dataValidation type="list" allowBlank="1" showInputMessage="1" showErrorMessage="1" errorTitle="Erreur de saisie" error="Veuillez saisir un établissement dans la liste." xr:uid="{FB88F1EE-1A5A-4A4A-8302-1145CADF9B23}">
          <x14:formula1>
            <xm:f>Etablissements!$B$2:$B$9</xm:f>
          </x14:formula1>
          <xm:sqref>G13</xm:sqref>
        </x14:dataValidation>
        <x14:dataValidation type="list" allowBlank="1" showInputMessage="1" showErrorMessage="1" errorTitle="Erreur de saisie" error="Veuillez saisir un établissement dans la liste." xr:uid="{DC24E544-C450-4FBF-9C11-23B41F7BCCC8}">
          <x14:formula1>
            <xm:f>Etablissements!$B$2:$B$9</xm:f>
          </x14:formula1>
          <xm:sqref>G11</xm:sqref>
        </x14:dataValidation>
        <x14:dataValidation type="list" allowBlank="1" showInputMessage="1" showErrorMessage="1" errorTitle="Erreur de saisie" error="Veuillez saisir un établissement dans la liste." xr:uid="{28DB5031-116D-461D-AB9A-6142FB6AD561}">
          <x14:formula1>
            <xm:f>Etablissements!$B$2:$B$9</xm:f>
          </x14:formula1>
          <xm:sqref>G12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233B7-9F0A-4CB2-BCA9-5EF1FF1BCB8D}">
  <sheetPr codeName="Feuil1"/>
  <dimension ref="A1:H14"/>
  <sheetViews>
    <sheetView workbookViewId="0">
      <pane ySplit="1" topLeftCell="A2" activePane="bottomLeft" state="frozen"/>
      <selection pane="bottomLeft" activeCell="B10" sqref="B10"/>
    </sheetView>
  </sheetViews>
  <sheetFormatPr baseColWidth="10" defaultRowHeight="14.4" x14ac:dyDescent="0.3"/>
  <cols>
    <col min="1" max="1" width="4.77734375" style="4" customWidth="1"/>
    <col min="2" max="2" width="15.44140625" style="1" bestFit="1" customWidth="1"/>
    <col min="3" max="3" width="9" style="1" bestFit="1" customWidth="1"/>
    <col min="4" max="4" width="19.21875" style="16" bestFit="1" customWidth="1"/>
    <col min="5" max="5" width="27" style="1" bestFit="1" customWidth="1"/>
    <col min="6" max="6" width="45.5546875" style="1" bestFit="1" customWidth="1"/>
    <col min="7" max="7" width="11.5546875" style="18"/>
    <col min="8" max="8" width="11.5546875" style="26"/>
    <col min="9" max="16384" width="11.5546875" style="1"/>
  </cols>
  <sheetData>
    <row r="1" spans="1:8" s="2" customFormat="1" ht="18" customHeight="1" x14ac:dyDescent="0.3">
      <c r="A1" s="7">
        <f>COUNTA($B$2:$B$100)</f>
        <v>8</v>
      </c>
      <c r="B1" s="27" t="s">
        <v>76</v>
      </c>
      <c r="C1" s="2" t="s">
        <v>0</v>
      </c>
      <c r="D1" s="15" t="s">
        <v>83</v>
      </c>
      <c r="E1" s="2" t="s">
        <v>3</v>
      </c>
      <c r="F1" s="2" t="s">
        <v>2</v>
      </c>
      <c r="G1" s="17"/>
      <c r="H1" s="25"/>
    </row>
    <row r="2" spans="1:8" x14ac:dyDescent="0.3">
      <c r="B2" s="3" t="s">
        <v>18</v>
      </c>
      <c r="C2" s="1" t="s">
        <v>14</v>
      </c>
      <c r="D2" s="16" t="s">
        <v>84</v>
      </c>
      <c r="E2" s="1" t="s">
        <v>13</v>
      </c>
      <c r="F2" s="1" t="s">
        <v>12</v>
      </c>
      <c r="G2" s="19" t="s">
        <v>192</v>
      </c>
      <c r="H2" s="26" t="s">
        <v>193</v>
      </c>
    </row>
    <row r="3" spans="1:8" x14ac:dyDescent="0.3">
      <c r="B3" s="1" t="s">
        <v>99</v>
      </c>
      <c r="C3" s="1" t="s">
        <v>92</v>
      </c>
      <c r="D3" s="16" t="s">
        <v>93</v>
      </c>
      <c r="E3" s="1" t="s">
        <v>13</v>
      </c>
      <c r="F3" s="1" t="s">
        <v>100</v>
      </c>
      <c r="G3" s="19" t="s">
        <v>194</v>
      </c>
      <c r="H3" s="26" t="s">
        <v>195</v>
      </c>
    </row>
    <row r="4" spans="1:8" x14ac:dyDescent="0.3">
      <c r="B4" s="1" t="s">
        <v>5</v>
      </c>
      <c r="C4" s="1" t="s">
        <v>8</v>
      </c>
      <c r="D4" s="16" t="s">
        <v>85</v>
      </c>
      <c r="E4" s="1" t="s">
        <v>13</v>
      </c>
      <c r="F4" s="1" t="s">
        <v>10</v>
      </c>
      <c r="G4" s="19" t="s">
        <v>196</v>
      </c>
      <c r="H4" s="26" t="s">
        <v>197</v>
      </c>
    </row>
    <row r="5" spans="1:8" x14ac:dyDescent="0.3">
      <c r="B5" s="1" t="s">
        <v>6</v>
      </c>
      <c r="C5" s="1" t="s">
        <v>9</v>
      </c>
      <c r="D5" s="16" t="s">
        <v>86</v>
      </c>
      <c r="E5" s="1" t="s">
        <v>13</v>
      </c>
      <c r="F5" s="1" t="s">
        <v>11</v>
      </c>
      <c r="G5" s="19" t="s">
        <v>198</v>
      </c>
      <c r="H5" s="26" t="s">
        <v>199</v>
      </c>
    </row>
    <row r="6" spans="1:8" x14ac:dyDescent="0.3">
      <c r="B6" s="1" t="s">
        <v>4</v>
      </c>
      <c r="C6" s="1" t="s">
        <v>7</v>
      </c>
      <c r="D6" s="16" t="s">
        <v>87</v>
      </c>
      <c r="E6" s="1" t="s">
        <v>13</v>
      </c>
      <c r="F6" s="1" t="s">
        <v>19</v>
      </c>
      <c r="G6" s="19" t="s">
        <v>200</v>
      </c>
      <c r="H6" s="26" t="s">
        <v>201</v>
      </c>
    </row>
    <row r="7" spans="1:8" x14ac:dyDescent="0.3">
      <c r="B7" s="1" t="s">
        <v>15</v>
      </c>
      <c r="C7" s="1" t="s">
        <v>9</v>
      </c>
      <c r="D7" s="16" t="s">
        <v>88</v>
      </c>
      <c r="E7" s="1" t="s">
        <v>13</v>
      </c>
      <c r="F7" s="1" t="s">
        <v>12</v>
      </c>
      <c r="G7" s="19" t="s">
        <v>112</v>
      </c>
      <c r="H7" s="26" t="s">
        <v>113</v>
      </c>
    </row>
    <row r="8" spans="1:8" x14ac:dyDescent="0.3">
      <c r="B8" s="1" t="s">
        <v>95</v>
      </c>
      <c r="C8" s="1" t="s">
        <v>96</v>
      </c>
      <c r="D8" s="16" t="s">
        <v>97</v>
      </c>
      <c r="E8" s="1" t="s">
        <v>13</v>
      </c>
      <c r="F8" s="1" t="s">
        <v>98</v>
      </c>
      <c r="G8" s="19" t="s">
        <v>202</v>
      </c>
      <c r="H8" s="26" t="s">
        <v>203</v>
      </c>
    </row>
    <row r="9" spans="1:8" x14ac:dyDescent="0.3">
      <c r="B9" s="1" t="s">
        <v>89</v>
      </c>
      <c r="C9" s="1" t="s">
        <v>90</v>
      </c>
      <c r="D9" s="16" t="s">
        <v>91</v>
      </c>
      <c r="E9" s="1" t="s">
        <v>13</v>
      </c>
      <c r="F9" s="1" t="s">
        <v>94</v>
      </c>
      <c r="G9" s="19" t="s">
        <v>204</v>
      </c>
      <c r="H9" s="26" t="s">
        <v>205</v>
      </c>
    </row>
    <row r="10" spans="1:8" x14ac:dyDescent="0.3">
      <c r="G10" s="19"/>
    </row>
    <row r="11" spans="1:8" x14ac:dyDescent="0.3">
      <c r="G11" s="19"/>
    </row>
    <row r="12" spans="1:8" x14ac:dyDescent="0.3">
      <c r="G12" s="19"/>
    </row>
    <row r="13" spans="1:8" x14ac:dyDescent="0.3">
      <c r="G13" s="19"/>
    </row>
    <row r="14" spans="1:8" x14ac:dyDescent="0.3">
      <c r="G14" s="19"/>
    </row>
  </sheetData>
  <sortState xmlns:xlrd2="http://schemas.microsoft.com/office/spreadsheetml/2017/richdata2" ref="A2:H9">
    <sortCondition ref="B1"/>
  </sortState>
  <conditionalFormatting sqref="B2:F100">
    <cfRule type="expression" dxfId="10" priority="3">
      <formula>$B2&lt;&gt;""</formula>
    </cfRule>
  </conditionalFormatting>
  <conditionalFormatting sqref="A1:XFD1">
    <cfRule type="expression" dxfId="9" priority="2">
      <formula>$A$1="OFF"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5AD860C-2737-47EF-873F-3117572729F8}">
            <xm:f>Utilisateurs!$A$1="OFF"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23B55-5627-4491-912D-EE64D2135A22}">
  <sheetPr codeName="Feuil4"/>
  <dimension ref="A1:G42"/>
  <sheetViews>
    <sheetView workbookViewId="0">
      <pane ySplit="1" topLeftCell="A30" activePane="bottomLeft" state="frozen"/>
      <selection pane="bottomLeft" activeCell="C43" sqref="C43"/>
    </sheetView>
  </sheetViews>
  <sheetFormatPr baseColWidth="10" defaultRowHeight="14.4" x14ac:dyDescent="0.3"/>
  <cols>
    <col min="1" max="1" width="4.77734375" style="9" customWidth="1"/>
    <col min="2" max="2" width="3" style="6" bestFit="1" customWidth="1"/>
    <col min="3" max="3" width="8.109375" style="3" bestFit="1" customWidth="1"/>
    <col min="4" max="4" width="15.44140625" style="3" bestFit="1" customWidth="1"/>
    <col min="5" max="5" width="5.5546875" style="16" bestFit="1" customWidth="1"/>
    <col min="6" max="7" width="11.5546875" style="21"/>
    <col min="8" max="16384" width="11.5546875" style="3"/>
  </cols>
  <sheetData>
    <row r="1" spans="1:7" s="5" customFormat="1" ht="18" customHeight="1" x14ac:dyDescent="0.3">
      <c r="A1" s="8">
        <f>COUNTA($B$2:$B$100)</f>
        <v>41</v>
      </c>
      <c r="B1" s="5" t="s">
        <v>207</v>
      </c>
      <c r="C1" s="5" t="s">
        <v>77</v>
      </c>
      <c r="D1" s="10" t="s">
        <v>76</v>
      </c>
      <c r="E1" s="15" t="s">
        <v>1</v>
      </c>
      <c r="F1" s="23"/>
      <c r="G1" s="24"/>
    </row>
    <row r="2" spans="1:7" x14ac:dyDescent="0.3">
      <c r="B2" s="6">
        <v>1</v>
      </c>
      <c r="C2" s="3" t="s">
        <v>78</v>
      </c>
      <c r="D2" s="3" t="s">
        <v>18</v>
      </c>
      <c r="E2" s="16">
        <v>70</v>
      </c>
      <c r="F2" s="20" t="s">
        <v>212</v>
      </c>
      <c r="G2" s="21" t="s">
        <v>213</v>
      </c>
    </row>
    <row r="3" spans="1:7" x14ac:dyDescent="0.3">
      <c r="B3" s="6">
        <v>2</v>
      </c>
      <c r="C3" s="3" t="s">
        <v>79</v>
      </c>
      <c r="D3" s="3" t="s">
        <v>18</v>
      </c>
      <c r="E3" s="16">
        <v>46</v>
      </c>
      <c r="F3" s="20" t="s">
        <v>214</v>
      </c>
      <c r="G3" s="21" t="s">
        <v>215</v>
      </c>
    </row>
    <row r="4" spans="1:7" x14ac:dyDescent="0.3">
      <c r="B4" s="6">
        <v>3</v>
      </c>
      <c r="C4" s="3" t="s">
        <v>80</v>
      </c>
      <c r="D4" s="3" t="s">
        <v>18</v>
      </c>
      <c r="E4" s="16">
        <v>63</v>
      </c>
      <c r="F4" s="20" t="s">
        <v>162</v>
      </c>
      <c r="G4" s="21" t="s">
        <v>163</v>
      </c>
    </row>
    <row r="5" spans="1:7" x14ac:dyDescent="0.3">
      <c r="B5" s="6">
        <v>4</v>
      </c>
      <c r="C5" s="3" t="s">
        <v>81</v>
      </c>
      <c r="D5" s="3" t="s">
        <v>18</v>
      </c>
      <c r="E5" s="16">
        <v>79</v>
      </c>
      <c r="F5" s="20" t="s">
        <v>172</v>
      </c>
      <c r="G5" s="21" t="s">
        <v>173</v>
      </c>
    </row>
    <row r="6" spans="1:7" x14ac:dyDescent="0.3">
      <c r="B6" s="6">
        <v>5</v>
      </c>
      <c r="C6" s="3" t="s">
        <v>82</v>
      </c>
      <c r="D6" s="3" t="s">
        <v>18</v>
      </c>
      <c r="E6" s="16">
        <v>59</v>
      </c>
      <c r="F6" s="20" t="s">
        <v>182</v>
      </c>
      <c r="G6" s="21" t="s">
        <v>183</v>
      </c>
    </row>
    <row r="7" spans="1:7" x14ac:dyDescent="0.3">
      <c r="B7" s="6">
        <v>6</v>
      </c>
      <c r="C7" s="3" t="s">
        <v>78</v>
      </c>
      <c r="D7" s="3" t="s">
        <v>99</v>
      </c>
      <c r="E7" s="16">
        <v>79</v>
      </c>
      <c r="F7" s="20" t="s">
        <v>136</v>
      </c>
      <c r="G7" s="21" t="s">
        <v>137</v>
      </c>
    </row>
    <row r="8" spans="1:7" x14ac:dyDescent="0.3">
      <c r="B8" s="6">
        <v>7</v>
      </c>
      <c r="C8" s="3" t="s">
        <v>79</v>
      </c>
      <c r="D8" s="3" t="s">
        <v>99</v>
      </c>
      <c r="E8" s="16">
        <v>59</v>
      </c>
      <c r="F8" s="20" t="s">
        <v>134</v>
      </c>
      <c r="G8" s="21" t="s">
        <v>135</v>
      </c>
    </row>
    <row r="9" spans="1:7" x14ac:dyDescent="0.3">
      <c r="B9" s="6">
        <v>8</v>
      </c>
      <c r="C9" s="3" t="s">
        <v>80</v>
      </c>
      <c r="D9" s="3" t="s">
        <v>99</v>
      </c>
      <c r="E9" s="16">
        <v>89</v>
      </c>
      <c r="F9" s="20" t="s">
        <v>118</v>
      </c>
      <c r="G9" s="21" t="s">
        <v>119</v>
      </c>
    </row>
    <row r="10" spans="1:7" x14ac:dyDescent="0.3">
      <c r="B10" s="6">
        <v>9</v>
      </c>
      <c r="C10" s="3" t="s">
        <v>81</v>
      </c>
      <c r="D10" s="3" t="s">
        <v>99</v>
      </c>
      <c r="E10" s="16">
        <v>86</v>
      </c>
      <c r="F10" s="20" t="s">
        <v>132</v>
      </c>
      <c r="G10" s="21" t="s">
        <v>133</v>
      </c>
    </row>
    <row r="11" spans="1:7" x14ac:dyDescent="0.3">
      <c r="B11" s="6">
        <v>10</v>
      </c>
      <c r="C11" s="3" t="s">
        <v>82</v>
      </c>
      <c r="D11" s="3" t="s">
        <v>99</v>
      </c>
      <c r="E11" s="16">
        <v>63</v>
      </c>
      <c r="F11" s="20" t="s">
        <v>130</v>
      </c>
      <c r="G11" s="21" t="s">
        <v>131</v>
      </c>
    </row>
    <row r="12" spans="1:7" x14ac:dyDescent="0.3">
      <c r="B12" s="6">
        <v>11</v>
      </c>
      <c r="C12" s="3" t="s">
        <v>78</v>
      </c>
      <c r="D12" s="3" t="s">
        <v>5</v>
      </c>
      <c r="E12" s="16">
        <v>91</v>
      </c>
      <c r="F12" s="20" t="s">
        <v>142</v>
      </c>
      <c r="G12" s="21" t="s">
        <v>143</v>
      </c>
    </row>
    <row r="13" spans="1:7" x14ac:dyDescent="0.3">
      <c r="B13" s="6">
        <v>12</v>
      </c>
      <c r="C13" s="3" t="s">
        <v>79</v>
      </c>
      <c r="D13" s="3" t="s">
        <v>5</v>
      </c>
      <c r="E13" s="16">
        <v>46</v>
      </c>
      <c r="F13" s="20" t="s">
        <v>152</v>
      </c>
      <c r="G13" s="21" t="s">
        <v>153</v>
      </c>
    </row>
    <row r="14" spans="1:7" x14ac:dyDescent="0.3">
      <c r="B14" s="6">
        <v>13</v>
      </c>
      <c r="C14" s="3" t="s">
        <v>80</v>
      </c>
      <c r="D14" s="3" t="s">
        <v>5</v>
      </c>
      <c r="E14" s="16">
        <v>85</v>
      </c>
      <c r="F14" s="20" t="s">
        <v>164</v>
      </c>
      <c r="G14" s="21" t="s">
        <v>165</v>
      </c>
    </row>
    <row r="15" spans="1:7" x14ac:dyDescent="0.3">
      <c r="B15" s="6">
        <v>14</v>
      </c>
      <c r="C15" s="3" t="s">
        <v>81</v>
      </c>
      <c r="D15" s="3" t="s">
        <v>5</v>
      </c>
      <c r="E15" s="16">
        <v>74</v>
      </c>
      <c r="F15" s="20" t="s">
        <v>174</v>
      </c>
      <c r="G15" s="21" t="s">
        <v>175</v>
      </c>
    </row>
    <row r="16" spans="1:7" x14ac:dyDescent="0.3">
      <c r="B16" s="6">
        <v>15</v>
      </c>
      <c r="C16" s="3" t="s">
        <v>82</v>
      </c>
      <c r="D16" s="3" t="s">
        <v>5</v>
      </c>
      <c r="E16" s="16">
        <v>60</v>
      </c>
      <c r="F16" s="20" t="s">
        <v>184</v>
      </c>
      <c r="G16" s="21" t="s">
        <v>185</v>
      </c>
    </row>
    <row r="17" spans="2:7" x14ac:dyDescent="0.3">
      <c r="B17" s="6">
        <v>16</v>
      </c>
      <c r="C17" s="3" t="s">
        <v>78</v>
      </c>
      <c r="D17" s="3" t="s">
        <v>6</v>
      </c>
      <c r="E17" s="16">
        <v>49</v>
      </c>
      <c r="F17" s="20" t="s">
        <v>144</v>
      </c>
      <c r="G17" s="21" t="s">
        <v>145</v>
      </c>
    </row>
    <row r="18" spans="2:7" x14ac:dyDescent="0.3">
      <c r="B18" s="6">
        <v>17</v>
      </c>
      <c r="C18" s="3" t="s">
        <v>79</v>
      </c>
      <c r="D18" s="3" t="s">
        <v>6</v>
      </c>
      <c r="E18" s="16">
        <v>46</v>
      </c>
      <c r="F18" s="20" t="s">
        <v>154</v>
      </c>
      <c r="G18" s="21" t="s">
        <v>155</v>
      </c>
    </row>
    <row r="19" spans="2:7" x14ac:dyDescent="0.3">
      <c r="B19" s="6">
        <v>18</v>
      </c>
      <c r="C19" s="3" t="s">
        <v>80</v>
      </c>
      <c r="D19" s="3" t="s">
        <v>6</v>
      </c>
      <c r="E19" s="16">
        <v>46</v>
      </c>
      <c r="F19" s="20" t="s">
        <v>166</v>
      </c>
      <c r="G19" s="21" t="s">
        <v>167</v>
      </c>
    </row>
    <row r="20" spans="2:7" x14ac:dyDescent="0.3">
      <c r="B20" s="6">
        <v>19</v>
      </c>
      <c r="C20" s="3" t="s">
        <v>81</v>
      </c>
      <c r="D20" s="3" t="s">
        <v>6</v>
      </c>
      <c r="E20" s="16">
        <v>57</v>
      </c>
      <c r="F20" s="20" t="s">
        <v>176</v>
      </c>
      <c r="G20" s="21" t="s">
        <v>177</v>
      </c>
    </row>
    <row r="21" spans="2:7" x14ac:dyDescent="0.3">
      <c r="B21" s="6">
        <v>20</v>
      </c>
      <c r="C21" s="3" t="s">
        <v>82</v>
      </c>
      <c r="D21" s="3" t="s">
        <v>6</v>
      </c>
      <c r="E21" s="16">
        <v>88</v>
      </c>
      <c r="F21" s="20" t="s">
        <v>186</v>
      </c>
      <c r="G21" s="21" t="s">
        <v>187</v>
      </c>
    </row>
    <row r="22" spans="2:7" x14ac:dyDescent="0.3">
      <c r="B22" s="6">
        <v>21</v>
      </c>
      <c r="C22" s="3" t="s">
        <v>78</v>
      </c>
      <c r="D22" s="3" t="s">
        <v>4</v>
      </c>
      <c r="E22" s="16">
        <v>72</v>
      </c>
      <c r="F22" s="20" t="s">
        <v>146</v>
      </c>
      <c r="G22" s="21" t="s">
        <v>147</v>
      </c>
    </row>
    <row r="23" spans="2:7" x14ac:dyDescent="0.3">
      <c r="B23" s="6">
        <v>22</v>
      </c>
      <c r="C23" s="3" t="s">
        <v>79</v>
      </c>
      <c r="D23" s="3" t="s">
        <v>4</v>
      </c>
      <c r="E23" s="16">
        <v>68</v>
      </c>
      <c r="F23" s="20" t="s">
        <v>156</v>
      </c>
      <c r="G23" s="21" t="s">
        <v>157</v>
      </c>
    </row>
    <row r="24" spans="2:7" x14ac:dyDescent="0.3">
      <c r="B24" s="6">
        <v>23</v>
      </c>
      <c r="C24" s="3" t="s">
        <v>80</v>
      </c>
      <c r="D24" s="3" t="s">
        <v>4</v>
      </c>
      <c r="E24" s="16">
        <v>85</v>
      </c>
      <c r="F24" s="20" t="s">
        <v>168</v>
      </c>
      <c r="G24" s="21" t="s">
        <v>169</v>
      </c>
    </row>
    <row r="25" spans="2:7" x14ac:dyDescent="0.3">
      <c r="B25" s="6">
        <v>24</v>
      </c>
      <c r="C25" s="3" t="s">
        <v>81</v>
      </c>
      <c r="D25" s="3" t="s">
        <v>4</v>
      </c>
      <c r="E25" s="16">
        <v>89</v>
      </c>
      <c r="F25" s="20" t="s">
        <v>178</v>
      </c>
      <c r="G25" s="21" t="s">
        <v>179</v>
      </c>
    </row>
    <row r="26" spans="2:7" x14ac:dyDescent="0.3">
      <c r="B26" s="6">
        <v>25</v>
      </c>
      <c r="C26" s="3" t="s">
        <v>82</v>
      </c>
      <c r="D26" s="3" t="s">
        <v>4</v>
      </c>
      <c r="E26" s="16">
        <v>68</v>
      </c>
      <c r="F26" s="20" t="s">
        <v>188</v>
      </c>
      <c r="G26" s="21" t="s">
        <v>189</v>
      </c>
    </row>
    <row r="27" spans="2:7" x14ac:dyDescent="0.3">
      <c r="B27" s="6">
        <v>26</v>
      </c>
      <c r="C27" s="3" t="s">
        <v>78</v>
      </c>
      <c r="D27" s="3" t="s">
        <v>15</v>
      </c>
      <c r="E27" s="16">
        <v>79</v>
      </c>
      <c r="F27" s="20" t="s">
        <v>148</v>
      </c>
      <c r="G27" s="21" t="s">
        <v>149</v>
      </c>
    </row>
    <row r="28" spans="2:7" x14ac:dyDescent="0.3">
      <c r="B28" s="6">
        <v>27</v>
      </c>
      <c r="C28" s="3" t="s">
        <v>79</v>
      </c>
      <c r="D28" s="3" t="s">
        <v>15</v>
      </c>
      <c r="E28" s="16">
        <v>91</v>
      </c>
      <c r="F28" s="20" t="s">
        <v>158</v>
      </c>
      <c r="G28" s="21" t="s">
        <v>159</v>
      </c>
    </row>
    <row r="29" spans="2:7" x14ac:dyDescent="0.3">
      <c r="B29" s="6">
        <v>28</v>
      </c>
      <c r="C29" s="3" t="s">
        <v>80</v>
      </c>
      <c r="D29" s="3" t="s">
        <v>15</v>
      </c>
      <c r="E29" s="16">
        <v>63</v>
      </c>
      <c r="F29" s="20" t="s">
        <v>170</v>
      </c>
      <c r="G29" s="21" t="s">
        <v>171</v>
      </c>
    </row>
    <row r="30" spans="2:7" x14ac:dyDescent="0.3">
      <c r="B30" s="6">
        <v>29</v>
      </c>
      <c r="C30" s="3" t="s">
        <v>81</v>
      </c>
      <c r="D30" s="3" t="s">
        <v>15</v>
      </c>
      <c r="E30" s="16">
        <v>93</v>
      </c>
      <c r="F30" s="20" t="s">
        <v>180</v>
      </c>
      <c r="G30" s="21" t="s">
        <v>181</v>
      </c>
    </row>
    <row r="31" spans="2:7" x14ac:dyDescent="0.3">
      <c r="B31" s="6">
        <v>30</v>
      </c>
      <c r="C31" s="3" t="s">
        <v>82</v>
      </c>
      <c r="D31" s="3" t="s">
        <v>15</v>
      </c>
      <c r="E31" s="16">
        <v>88</v>
      </c>
      <c r="F31" s="20" t="s">
        <v>190</v>
      </c>
      <c r="G31" s="21" t="s">
        <v>191</v>
      </c>
    </row>
    <row r="32" spans="2:7" x14ac:dyDescent="0.3">
      <c r="B32" s="6">
        <v>31</v>
      </c>
      <c r="C32" s="3" t="s">
        <v>78</v>
      </c>
      <c r="D32" s="3" t="s">
        <v>95</v>
      </c>
      <c r="E32" s="16">
        <v>73</v>
      </c>
      <c r="F32" s="20" t="s">
        <v>128</v>
      </c>
      <c r="G32" s="21" t="s">
        <v>129</v>
      </c>
    </row>
    <row r="33" spans="2:7" x14ac:dyDescent="0.3">
      <c r="B33" s="6">
        <v>32</v>
      </c>
      <c r="C33" s="3" t="s">
        <v>79</v>
      </c>
      <c r="D33" s="3" t="s">
        <v>95</v>
      </c>
      <c r="E33" s="16">
        <v>62</v>
      </c>
      <c r="F33" s="20" t="s">
        <v>126</v>
      </c>
      <c r="G33" s="21" t="s">
        <v>127</v>
      </c>
    </row>
    <row r="34" spans="2:7" x14ac:dyDescent="0.3">
      <c r="B34" s="6">
        <v>33</v>
      </c>
      <c r="C34" s="3" t="s">
        <v>80</v>
      </c>
      <c r="D34" s="3" t="s">
        <v>95</v>
      </c>
      <c r="E34" s="16">
        <v>86</v>
      </c>
      <c r="F34" s="20" t="s">
        <v>124</v>
      </c>
      <c r="G34" s="21" t="s">
        <v>125</v>
      </c>
    </row>
    <row r="35" spans="2:7" x14ac:dyDescent="0.3">
      <c r="B35" s="6">
        <v>34</v>
      </c>
      <c r="C35" s="3" t="s">
        <v>81</v>
      </c>
      <c r="D35" s="3" t="s">
        <v>95</v>
      </c>
      <c r="E35" s="16">
        <v>98</v>
      </c>
      <c r="F35" s="20" t="s">
        <v>122</v>
      </c>
      <c r="G35" s="21" t="s">
        <v>123</v>
      </c>
    </row>
    <row r="36" spans="2:7" x14ac:dyDescent="0.3">
      <c r="B36" s="6">
        <v>35</v>
      </c>
      <c r="C36" s="3" t="s">
        <v>82</v>
      </c>
      <c r="D36" s="3" t="s">
        <v>95</v>
      </c>
      <c r="E36" s="16">
        <v>87</v>
      </c>
      <c r="F36" s="20" t="s">
        <v>120</v>
      </c>
      <c r="G36" s="21" t="s">
        <v>121</v>
      </c>
    </row>
    <row r="37" spans="2:7" x14ac:dyDescent="0.3">
      <c r="B37" s="6">
        <v>36</v>
      </c>
      <c r="C37" s="3" t="s">
        <v>78</v>
      </c>
      <c r="D37" s="3" t="s">
        <v>89</v>
      </c>
      <c r="E37" s="16">
        <v>75</v>
      </c>
      <c r="F37" s="20" t="s">
        <v>150</v>
      </c>
      <c r="G37" s="21" t="s">
        <v>151</v>
      </c>
    </row>
    <row r="38" spans="2:7" x14ac:dyDescent="0.3">
      <c r="B38" s="6">
        <v>37</v>
      </c>
      <c r="C38" s="3" t="s">
        <v>79</v>
      </c>
      <c r="D38" s="3" t="s">
        <v>89</v>
      </c>
      <c r="E38" s="16">
        <v>93</v>
      </c>
      <c r="F38" s="20" t="s">
        <v>160</v>
      </c>
      <c r="G38" s="21" t="s">
        <v>161</v>
      </c>
    </row>
    <row r="39" spans="2:7" x14ac:dyDescent="0.3">
      <c r="B39" s="6">
        <v>38</v>
      </c>
      <c r="C39" s="3" t="s">
        <v>80</v>
      </c>
      <c r="D39" s="3" t="s">
        <v>89</v>
      </c>
      <c r="E39" s="16">
        <v>77</v>
      </c>
      <c r="F39" s="20" t="s">
        <v>140</v>
      </c>
      <c r="G39" s="21" t="s">
        <v>141</v>
      </c>
    </row>
    <row r="40" spans="2:7" x14ac:dyDescent="0.3">
      <c r="B40" s="6">
        <v>39</v>
      </c>
      <c r="C40" s="3" t="s">
        <v>81</v>
      </c>
      <c r="D40" s="3" t="s">
        <v>89</v>
      </c>
      <c r="E40" s="16">
        <v>83</v>
      </c>
      <c r="F40" s="20" t="s">
        <v>138</v>
      </c>
      <c r="G40" s="21" t="s">
        <v>139</v>
      </c>
    </row>
    <row r="41" spans="2:7" x14ac:dyDescent="0.3">
      <c r="B41" s="6">
        <v>40</v>
      </c>
      <c r="C41" s="3" t="s">
        <v>82</v>
      </c>
      <c r="D41" s="3" t="s">
        <v>89</v>
      </c>
      <c r="E41" s="16">
        <v>80</v>
      </c>
      <c r="F41" s="20" t="s">
        <v>210</v>
      </c>
      <c r="G41" s="21" t="s">
        <v>211</v>
      </c>
    </row>
    <row r="42" spans="2:7" x14ac:dyDescent="0.3">
      <c r="B42" s="6">
        <v>41</v>
      </c>
      <c r="C42" s="3" t="s">
        <v>206</v>
      </c>
      <c r="D42" s="3" t="s">
        <v>89</v>
      </c>
      <c r="E42" s="16">
        <v>87</v>
      </c>
      <c r="F42" s="20" t="s">
        <v>208</v>
      </c>
      <c r="G42" s="21" t="s">
        <v>209</v>
      </c>
    </row>
  </sheetData>
  <sortState xmlns:xlrd2="http://schemas.microsoft.com/office/spreadsheetml/2017/richdata2" ref="A2:G41">
    <sortCondition ref="D1"/>
  </sortState>
  <phoneticPr fontId="4" type="noConversion"/>
  <conditionalFormatting sqref="B2:E100">
    <cfRule type="expression" dxfId="7" priority="4">
      <formula>$C2&lt;&gt;""</formula>
    </cfRule>
  </conditionalFormatting>
  <conditionalFormatting sqref="A1:XFD1">
    <cfRule type="expression" dxfId="6" priority="3">
      <formula>$A$1="OFF"</formula>
    </cfRule>
  </conditionalFormatting>
  <dataValidations count="1">
    <dataValidation allowBlank="1" showInputMessage="1" showErrorMessage="1" errorTitle="Erreur de saisie" error="Veuillez saisir un établissement dans la liste." sqref="A1:C1048576 D1 E1:XFD1048576 D45:D1048576" xr:uid="{88F17667-F216-458C-A2F0-AE8800D3264D}"/>
  </dataValidations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86EB52E-F510-4FB8-9642-49BE3C40E017}">
            <xm:f>Utilisateurs!$A$1="OFF"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  <x14:conditionalFormatting xmlns:xm="http://schemas.microsoft.com/office/excel/2006/main">
          <x14:cfRule type="expression" priority="2" id="{028FA319-44FE-4290-BEEC-7340A1E20019}">
            <xm:f>Etablissements!$A$1="OFF"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eur de saisie" error="Veuillez saisir un établissement dans la liste." xr:uid="{E46D3731-1C24-4396-B606-5CA5BDAEB5CD}">
          <x14:formula1>
            <xm:f>Etablissements!$B$2:$B$9</xm:f>
          </x14:formula1>
          <xm:sqref>D2:D44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EB3AB-B986-4BEB-BB36-BDAB6730AB1D}">
  <sheetPr codeName="Feuil3"/>
  <dimension ref="A1:G3"/>
  <sheetViews>
    <sheetView workbookViewId="0">
      <pane ySplit="1" topLeftCell="A2" activePane="bottomLeft" state="frozen"/>
      <selection pane="bottomLeft" activeCell="B2" sqref="B2"/>
    </sheetView>
  </sheetViews>
  <sheetFormatPr baseColWidth="10" defaultRowHeight="14.4" x14ac:dyDescent="0.3"/>
  <cols>
    <col min="1" max="1" width="4.77734375" style="9" customWidth="1"/>
    <col min="2" max="2" width="14.21875" style="3" bestFit="1" customWidth="1"/>
    <col min="3" max="3" width="10.77734375" style="12" customWidth="1"/>
    <col min="4" max="4" width="9.88671875" style="14" bestFit="1" customWidth="1"/>
    <col min="5" max="5" width="5.5546875" style="16" bestFit="1" customWidth="1"/>
    <col min="6" max="7" width="11.5546875" style="21"/>
    <col min="8" max="16384" width="11.5546875" style="3"/>
  </cols>
  <sheetData>
    <row r="1" spans="1:7" s="5" customFormat="1" ht="18" customHeight="1" x14ac:dyDescent="0.3">
      <c r="A1" s="8">
        <f>COUNTA($B$2:$B$100)</f>
        <v>2</v>
      </c>
      <c r="B1" s="10" t="s">
        <v>76</v>
      </c>
      <c r="C1" s="11" t="s">
        <v>74</v>
      </c>
      <c r="D1" s="11" t="s">
        <v>75</v>
      </c>
      <c r="E1" s="15" t="s">
        <v>1</v>
      </c>
      <c r="F1" s="23"/>
      <c r="G1" s="24"/>
    </row>
    <row r="2" spans="1:7" x14ac:dyDescent="0.3">
      <c r="A2" s="9" t="s">
        <v>17</v>
      </c>
      <c r="B2" s="3" t="s">
        <v>16</v>
      </c>
      <c r="C2" s="12" t="s">
        <v>106</v>
      </c>
      <c r="D2" s="13" t="s">
        <v>106</v>
      </c>
      <c r="E2" s="16" t="s">
        <v>106</v>
      </c>
      <c r="F2" s="20" t="s">
        <v>116</v>
      </c>
      <c r="G2" s="21" t="s">
        <v>117</v>
      </c>
    </row>
    <row r="3" spans="1:7" x14ac:dyDescent="0.3">
      <c r="B3" s="3" t="s">
        <v>15</v>
      </c>
      <c r="C3" s="12" t="s">
        <v>106</v>
      </c>
      <c r="D3" s="14" t="s">
        <v>106</v>
      </c>
      <c r="E3" s="16" t="s">
        <v>106</v>
      </c>
      <c r="F3" s="20" t="s">
        <v>114</v>
      </c>
      <c r="G3" s="21" t="s">
        <v>115</v>
      </c>
    </row>
  </sheetData>
  <conditionalFormatting sqref="B2:E100">
    <cfRule type="expression" dxfId="3" priority="4">
      <formula>$B2&lt;&gt;""</formula>
    </cfRule>
  </conditionalFormatting>
  <conditionalFormatting sqref="A1:XFD1">
    <cfRule type="expression" dxfId="2" priority="3">
      <formula>$A$1="OFF"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480C850-0669-4513-9A66-D2B2F47D4BF8}">
            <xm:f>Utilisateurs!$A$1="OFF"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  <x14:conditionalFormatting xmlns:xm="http://schemas.microsoft.com/office/excel/2006/main">
          <x14:cfRule type="expression" priority="2" id="{A7A9202D-2EF9-4AEA-B366-3A9F0A52441A}">
            <xm:f>Etablissements!$A$1="OFF"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eur de saisie" error="Veuillez saisir un établissement dans la liste." xr:uid="{ECF23885-70FA-4198-B68E-184621573147}">
          <x14:formula1>
            <xm:f>Etablissements!$B$2:$B$13</xm:f>
          </x14:formula1>
          <xm:sqref>B2:B4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10</vt:i4>
      </vt:variant>
    </vt:vector>
  </HeadingPairs>
  <TitlesOfParts>
    <vt:vector size="14" baseType="lpstr">
      <vt:lpstr>Utilisateurs</vt:lpstr>
      <vt:lpstr>Etablissements</vt:lpstr>
      <vt:lpstr>Suites</vt:lpstr>
      <vt:lpstr>Réservations</vt:lpstr>
      <vt:lpstr>Suites!branch</vt:lpstr>
      <vt:lpstr>branch</vt:lpstr>
      <vt:lpstr>branch0</vt:lpstr>
      <vt:lpstr>id</vt:lpstr>
      <vt:lpstr>id0</vt:lpstr>
      <vt:lpstr>manager</vt:lpstr>
      <vt:lpstr>Suites!price</vt:lpstr>
      <vt:lpstr>price</vt:lpstr>
      <vt:lpstr>suite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Matthieu Perez</dc:creator>
  <cp:lastModifiedBy>Matthieu Perez</cp:lastModifiedBy>
  <dcterms:created xsi:type="dcterms:W3CDTF">2022-03-22T14:24:55Z</dcterms:created>
  <dcterms:modified xsi:type="dcterms:W3CDTF">2022-04-06T11:26:34Z</dcterms:modified>
</cp:coreProperties>
</file>